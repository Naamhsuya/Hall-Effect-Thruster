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413BBBCA-C00D-49B7-95BB-9CEDA42A18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H15" i="1"/>
  <c r="H16" i="1"/>
  <c r="H17" i="1"/>
  <c r="H18" i="1"/>
  <c r="H19" i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2" i="1"/>
</calcChain>
</file>

<file path=xl/sharedStrings.xml><?xml version="1.0" encoding="utf-8"?>
<sst xmlns="http://schemas.openxmlformats.org/spreadsheetml/2006/main" count="42" uniqueCount="42">
  <si>
    <t>Thruster</t>
  </si>
  <si>
    <t>P, W</t>
  </si>
  <si>
    <t>Ud, V</t>
  </si>
  <si>
    <t>d, mm</t>
  </si>
  <si>
    <t>h, mm</t>
  </si>
  <si>
    <t>L, mm</t>
  </si>
  <si>
    <t>d^2,m^2</t>
  </si>
  <si>
    <t>Vd.d^2, Vm^2</t>
  </si>
  <si>
    <t>SPT-20 [21]</t>
  </si>
  <si>
    <t>HET-100 [23]</t>
  </si>
  <si>
    <t>KHT-40 [24]</t>
  </si>
  <si>
    <t>KHT-50 [24]</t>
  </si>
  <si>
    <t>HEPS-200</t>
  </si>
  <si>
    <t>KM-32 [27]</t>
  </si>
  <si>
    <t>SPT-50M [28]</t>
  </si>
  <si>
    <t>SPT-30 [23]</t>
  </si>
  <si>
    <t>KM-37 [29]</t>
  </si>
  <si>
    <t>SPT-50 [21]</t>
  </si>
  <si>
    <t>A-3 [21]</t>
  </si>
  <si>
    <t>HEPS-500</t>
  </si>
  <si>
    <t>SPT-100 [9,34]</t>
  </si>
  <si>
    <t>TUD-H3-P</t>
  </si>
  <si>
    <t>MaSMi</t>
  </si>
  <si>
    <t>MaSHEKT-100</t>
  </si>
  <si>
    <t>Micro Hall Thruster</t>
  </si>
  <si>
    <t>HVHT</t>
  </si>
  <si>
    <t>Mod 300W</t>
  </si>
  <si>
    <t>A=11.74*10^-4</t>
  </si>
  <si>
    <t>C=494.29</t>
  </si>
  <si>
    <t>Te=30eV</t>
  </si>
  <si>
    <t>Mi=2.803*10^-25</t>
  </si>
  <si>
    <t>Pd=200W</t>
  </si>
  <si>
    <t>Kb=1.3806*10^-23</t>
  </si>
  <si>
    <t>Vd=250V</t>
  </si>
  <si>
    <t>Ub=1.745*10^-8</t>
  </si>
  <si>
    <t>d=40.23mm</t>
  </si>
  <si>
    <t>ne=2.438*10^29</t>
  </si>
  <si>
    <t>h=9.29mm</t>
  </si>
  <si>
    <t>Vn=48376.329</t>
  </si>
  <si>
    <t>L=19.69mm</t>
  </si>
  <si>
    <t>Li=1.322*10^20</t>
  </si>
  <si>
    <t>nm=0.95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</si>
</sst>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5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readingOrder="1"/>
    </xf>
    <xf numFmtId="0" fontId="1" fillId="3" borderId="10" xfId="0" applyFont="1" applyFill="1" applyBorder="1" applyAlignment="1">
      <alignment horizontal="center" vertical="center" readingOrder="1"/>
    </xf>
    <xf numFmtId="0" fontId="1" fillId="3" borderId="9" xfId="0" applyFont="1" applyFill="1" applyBorder="1" applyAlignment="1">
      <alignment horizontal="center" vertical="center" readingOrder="1"/>
    </xf>
    <xf numFmtId="0" fontId="1" fillId="3" borderId="11" xfId="0" applyFont="1" applyFill="1" applyBorder="1" applyAlignment="1">
      <alignment horizontal="center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center" vertical="center" readingOrder="1"/>
    </xf>
    <xf numFmtId="0" fontId="1" fillId="3" borderId="15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 readingOrder="1"/>
    </xf>
    <xf numFmtId="0" fontId="2" fillId="0" borderId="13" xfId="0" applyFont="1" applyBorder="1" applyAlignment="1">
      <alignment horizontal="center" vertical="center" readingOrder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2" fillId="0" borderId="17" xfId="0" applyFont="1" applyBorder="1" applyAlignment="1">
      <alignment horizontal="center" vertical="center" readingOrder="1"/>
    </xf>
    <xf numFmtId="0" fontId="2" fillId="0" borderId="18" xfId="0" applyFont="1" applyBorder="1" applyAlignment="1">
      <alignment horizontal="center" vertical="center" readingOrder="1"/>
    </xf>
    <xf numFmtId="11" fontId="1" fillId="3" borderId="20" xfId="0" applyNumberFormat="1" applyFont="1" applyFill="1" applyBorder="1" applyAlignment="1">
      <alignment horizontal="center" vertical="center" readingOrder="1"/>
    </xf>
    <xf numFmtId="0" fontId="3" fillId="3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6" xfId="0" applyFont="1" applyBorder="1" applyAlignment="1">
      <alignment horizontal="center" vertical="center" readingOrder="1"/>
    </xf>
    <xf numFmtId="0" fontId="2" fillId="0" borderId="27" xfId="0" applyFont="1" applyBorder="1" applyAlignment="1">
      <alignment horizontal="center" vertical="center" readingOrder="1"/>
    </xf>
    <xf numFmtId="0" fontId="3" fillId="4" borderId="9" xfId="0" applyFont="1" applyFill="1" applyBorder="1"/>
    <xf numFmtId="0" fontId="2" fillId="0" borderId="28" xfId="0" applyFont="1" applyBorder="1" applyAlignment="1">
      <alignment horizontal="center" vertical="center" readingOrder="1"/>
    </xf>
    <xf numFmtId="0" fontId="2" fillId="0" borderId="29" xfId="0" applyFont="1" applyBorder="1" applyAlignment="1">
      <alignment horizontal="center" vertical="center" readingOrder="1"/>
    </xf>
    <xf numFmtId="0" fontId="2" fillId="0" borderId="30" xfId="0" applyFont="1" applyBorder="1" applyAlignment="1">
      <alignment horizontal="center" vertical="center" readingOrder="1"/>
    </xf>
    <xf numFmtId="0" fontId="2" fillId="0" borderId="31" xfId="0" applyFont="1" applyBorder="1" applyAlignment="1">
      <alignment horizontal="center" vertical="center" readingOrder="1"/>
    </xf>
    <xf numFmtId="0" fontId="2" fillId="0" borderId="32" xfId="0" applyFont="1" applyBorder="1" applyAlignment="1">
      <alignment horizontal="center" vertical="center" readingOrder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NumberFormat="1" applyBorder="1" applyAlignment="1">
      <alignment horizontal="center"/>
    </xf>
    <xf numFmtId="0" fontId="3" fillId="5" borderId="14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6567929008873889E-2"/>
                  <c:y val="-0.16536082474226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Sheet1!D22:D37</c:f>
              <c:numCache>
                <c:formatCode>General</c:formatCode>
                <c:ptCount val="16"/>
                <c:pt idx="0">
                  <c:v>23.5</c:v>
                </c:pt>
                <c:pt idx="1">
                  <c:v>31</c:v>
                </c:pt>
                <c:pt idx="2">
                  <c:v>42</c:v>
                </c:pt>
                <c:pt idx="3">
                  <c:v>42.5</c:v>
                </c:pt>
                <c:pt idx="4">
                  <c:v>32</c:v>
                </c:pt>
                <c:pt idx="5">
                  <c:v>39</c:v>
                </c:pt>
                <c:pt idx="6">
                  <c:v>24</c:v>
                </c:pt>
                <c:pt idx="7">
                  <c:v>37</c:v>
                </c:pt>
                <c:pt idx="8">
                  <c:v>39</c:v>
                </c:pt>
                <c:pt idx="9">
                  <c:v>47</c:v>
                </c:pt>
                <c:pt idx="10">
                  <c:v>49.5</c:v>
                </c:pt>
                <c:pt idx="11">
                  <c:v>85</c:v>
                </c:pt>
                <c:pt idx="12">
                  <c:v>36</c:v>
                </c:pt>
                <c:pt idx="13">
                  <c:v>36</c:v>
                </c:pt>
                <c:pt idx="14">
                  <c:v>4</c:v>
                </c:pt>
                <c:pt idx="15">
                  <c:v>34.799999999999997</c:v>
                </c:pt>
              </c:numCache>
            </c:numRef>
          </c:xVal>
          <c:yVal>
            <c:numRef>
              <c:f>Sheet1!F22:F37</c:f>
              <c:numCache>
                <c:formatCode>General</c:formatCode>
                <c:ptCount val="16"/>
                <c:pt idx="0">
                  <c:v>14.5</c:v>
                </c:pt>
                <c:pt idx="1">
                  <c:v>25.5</c:v>
                </c:pt>
                <c:pt idx="2">
                  <c:v>25</c:v>
                </c:pt>
                <c:pt idx="3">
                  <c:v>25</c:v>
                </c:pt>
                <c:pt idx="4">
                  <c:v>16</c:v>
                </c:pt>
                <c:pt idx="5">
                  <c:v>25</c:v>
                </c:pt>
                <c:pt idx="6">
                  <c:v>11</c:v>
                </c:pt>
                <c:pt idx="7">
                  <c:v>17.5</c:v>
                </c:pt>
                <c:pt idx="8">
                  <c:v>25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20</c:v>
                </c:pt>
                <c:pt idx="13">
                  <c:v>16</c:v>
                </c:pt>
                <c:pt idx="14">
                  <c:v>3</c:v>
                </c:pt>
                <c:pt idx="1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0-4933-84F2-7F44AC9B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363784"/>
        <c:axId val="988369928"/>
      </c:scatterChart>
      <c:valAx>
        <c:axId val="9883637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9928"/>
        <c:crosses val="autoZero"/>
        <c:crossBetween val="midCat"/>
        <c:majorUnit val="10"/>
      </c:valAx>
      <c:valAx>
        <c:axId val="98836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63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7319392452992555E-2"/>
                  <c:y val="-0.16985507246376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Sheet1!D2:D20</c:f>
              <c:numCache>
                <c:formatCode>General</c:formatCode>
                <c:ptCount val="19"/>
                <c:pt idx="0">
                  <c:v>15</c:v>
                </c:pt>
                <c:pt idx="1">
                  <c:v>23.5</c:v>
                </c:pt>
                <c:pt idx="2">
                  <c:v>31</c:v>
                </c:pt>
                <c:pt idx="3">
                  <c:v>42</c:v>
                </c:pt>
                <c:pt idx="4">
                  <c:v>42.5</c:v>
                </c:pt>
                <c:pt idx="5">
                  <c:v>32</c:v>
                </c:pt>
                <c:pt idx="6">
                  <c:v>39</c:v>
                </c:pt>
                <c:pt idx="7">
                  <c:v>24</c:v>
                </c:pt>
                <c:pt idx="8">
                  <c:v>37</c:v>
                </c:pt>
                <c:pt idx="9">
                  <c:v>39</c:v>
                </c:pt>
                <c:pt idx="10">
                  <c:v>47</c:v>
                </c:pt>
                <c:pt idx="11">
                  <c:v>49.5</c:v>
                </c:pt>
                <c:pt idx="12">
                  <c:v>85</c:v>
                </c:pt>
                <c:pt idx="13">
                  <c:v>36</c:v>
                </c:pt>
                <c:pt idx="14">
                  <c:v>36</c:v>
                </c:pt>
                <c:pt idx="15">
                  <c:v>30</c:v>
                </c:pt>
                <c:pt idx="16">
                  <c:v>4</c:v>
                </c:pt>
                <c:pt idx="17">
                  <c:v>34.799999999999997</c:v>
                </c:pt>
                <c:pt idx="18">
                  <c:v>73</c:v>
                </c:pt>
              </c:numCache>
            </c:numRef>
          </c:xVal>
          <c:yVal>
            <c:numRef>
              <c:f>Sheet1!E2:E20</c:f>
              <c:numCache>
                <c:formatCode>General</c:formatCode>
                <c:ptCount val="19"/>
                <c:pt idx="0">
                  <c:v>5</c:v>
                </c:pt>
                <c:pt idx="1">
                  <c:v>5.5</c:v>
                </c:pt>
                <c:pt idx="2">
                  <c:v>9</c:v>
                </c:pt>
                <c:pt idx="3">
                  <c:v>8</c:v>
                </c:pt>
                <c:pt idx="4">
                  <c:v>8.5</c:v>
                </c:pt>
                <c:pt idx="5">
                  <c:v>7</c:v>
                </c:pt>
                <c:pt idx="6">
                  <c:v>11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13</c:v>
                </c:pt>
                <c:pt idx="11">
                  <c:v>15.5</c:v>
                </c:pt>
                <c:pt idx="12">
                  <c:v>15</c:v>
                </c:pt>
                <c:pt idx="13">
                  <c:v>12</c:v>
                </c:pt>
                <c:pt idx="14">
                  <c:v>8</c:v>
                </c:pt>
                <c:pt idx="15">
                  <c:v>5</c:v>
                </c:pt>
                <c:pt idx="16">
                  <c:v>0.5</c:v>
                </c:pt>
                <c:pt idx="17">
                  <c:v>8.2100000000000009</c:v>
                </c:pt>
                <c:pt idx="18">
                  <c:v>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2-41A2-8F16-FF7D89DC3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280648"/>
        <c:axId val="1279282696"/>
      </c:scatterChart>
      <c:valAx>
        <c:axId val="12792806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2696"/>
        <c:crosses val="autoZero"/>
        <c:crossBetween val="midCat"/>
        <c:majorUnit val="10"/>
      </c:valAx>
      <c:valAx>
        <c:axId val="12792826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280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2.2592519685039371E-2"/>
                  <c:y val="-0.29341268796249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Sheet1!H2:H20</c:f>
              <c:numCache>
                <c:formatCode>General</c:formatCode>
                <c:ptCount val="19"/>
                <c:pt idx="0">
                  <c:v>4.0500000000000001E-2</c:v>
                </c:pt>
                <c:pt idx="1">
                  <c:v>0.16567499999999999</c:v>
                </c:pt>
                <c:pt idx="2">
                  <c:v>0.31232500000000002</c:v>
                </c:pt>
                <c:pt idx="3">
                  <c:v>0.441</c:v>
                </c:pt>
                <c:pt idx="4">
                  <c:v>0.45156249999999998</c:v>
                </c:pt>
                <c:pt idx="5">
                  <c:v>0.25600000000000001</c:v>
                </c:pt>
                <c:pt idx="6">
                  <c:v>0.30420000000000003</c:v>
                </c:pt>
                <c:pt idx="7">
                  <c:v>0.14400000000000002</c:v>
                </c:pt>
                <c:pt idx="8">
                  <c:v>0.39974799999999999</c:v>
                </c:pt>
                <c:pt idx="9">
                  <c:v>0.45629999999999998</c:v>
                </c:pt>
                <c:pt idx="10">
                  <c:v>0.66269999999999996</c:v>
                </c:pt>
                <c:pt idx="11">
                  <c:v>0.73507500000000003</c:v>
                </c:pt>
                <c:pt idx="12">
                  <c:v>2.1675</c:v>
                </c:pt>
                <c:pt idx="13">
                  <c:v>0.32400000000000001</c:v>
                </c:pt>
                <c:pt idx="14">
                  <c:v>0.35639999999999999</c:v>
                </c:pt>
                <c:pt idx="15">
                  <c:v>0.27</c:v>
                </c:pt>
                <c:pt idx="16">
                  <c:v>4.3999999999999994E-3</c:v>
                </c:pt>
                <c:pt idx="17">
                  <c:v>1.2110399999999999</c:v>
                </c:pt>
                <c:pt idx="18">
                  <c:v>1.5987</c:v>
                </c:pt>
              </c:numCache>
            </c:numRef>
          </c:xVal>
          <c:yVal>
            <c:numRef>
              <c:f>Sheet1!B2:B20</c:f>
              <c:numCache>
                <c:formatCode>General</c:formatCode>
                <c:ptCount val="19"/>
                <c:pt idx="0">
                  <c:v>52.4</c:v>
                </c:pt>
                <c:pt idx="1">
                  <c:v>174</c:v>
                </c:pt>
                <c:pt idx="2">
                  <c:v>187</c:v>
                </c:pt>
                <c:pt idx="3">
                  <c:v>193</c:v>
                </c:pt>
                <c:pt idx="4">
                  <c:v>195</c:v>
                </c:pt>
                <c:pt idx="5">
                  <c:v>215</c:v>
                </c:pt>
                <c:pt idx="6">
                  <c:v>245</c:v>
                </c:pt>
                <c:pt idx="7">
                  <c:v>258</c:v>
                </c:pt>
                <c:pt idx="8">
                  <c:v>283</c:v>
                </c:pt>
                <c:pt idx="9">
                  <c:v>317</c:v>
                </c:pt>
                <c:pt idx="10">
                  <c:v>324</c:v>
                </c:pt>
                <c:pt idx="11">
                  <c:v>482</c:v>
                </c:pt>
                <c:pt idx="12">
                  <c:v>1350</c:v>
                </c:pt>
                <c:pt idx="13">
                  <c:v>200</c:v>
                </c:pt>
                <c:pt idx="14">
                  <c:v>325</c:v>
                </c:pt>
                <c:pt idx="15">
                  <c:v>100</c:v>
                </c:pt>
                <c:pt idx="16">
                  <c:v>40</c:v>
                </c:pt>
                <c:pt idx="17">
                  <c:v>500</c:v>
                </c:pt>
                <c:pt idx="18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F-47B3-A217-F6FACC24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862728"/>
        <c:axId val="547891720"/>
      </c:scatterChart>
      <c:valAx>
        <c:axId val="544862728"/>
        <c:scaling>
          <c:orientation val="minMax"/>
          <c:max val="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Vd.d^2, V.m^2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91720"/>
        <c:crosses val="autoZero"/>
        <c:crossBetween val="midCat"/>
      </c:valAx>
      <c:valAx>
        <c:axId val="54789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Pd,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6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21</xdr:row>
      <xdr:rowOff>47625</xdr:rowOff>
    </xdr:from>
    <xdr:to>
      <xdr:col>16</xdr:col>
      <xdr:colOff>485775</xdr:colOff>
      <xdr:row>36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142875</xdr:colOff>
      <xdr:row>1</xdr:row>
      <xdr:rowOff>123825</xdr:rowOff>
    </xdr:from>
    <xdr:to>
      <xdr:col>24</xdr:col>
      <xdr:colOff>447675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57DBA-3726-32FA-23CE-327799AEEE54}"/>
            </a:ext>
            <a:ext uri="{147F2762-F138-4A5C-976F-8EAC2B608ADB}">
              <a16:predDERef xmlns:a16="http://schemas.microsoft.com/office/drawing/2014/main" pred="{0D999290-A860-640A-24C5-5DE6B43F0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</xdr:colOff>
      <xdr:row>1</xdr:row>
      <xdr:rowOff>123825</xdr:rowOff>
    </xdr:from>
    <xdr:to>
      <xdr:col>16</xdr:col>
      <xdr:colOff>466725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2C1ECA-B7B7-D377-EB6E-825698684B32}"/>
            </a:ext>
            <a:ext uri="{147F2762-F138-4A5C-976F-8EAC2B608ADB}">
              <a16:predDERef xmlns:a16="http://schemas.microsoft.com/office/drawing/2014/main" pred="{C3257DBA-3726-32FA-23CE-327799AEE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AI56" sqref="AI56"/>
    </sheetView>
  </sheetViews>
  <sheetFormatPr defaultRowHeight="15"/>
  <cols>
    <col min="1" max="1" width="17.28515625" bestFit="1" customWidth="1"/>
    <col min="2" max="2" width="11.28515625" bestFit="1" customWidth="1"/>
    <col min="6" max="6" width="9.28515625" bestFit="1" customWidth="1"/>
    <col min="7" max="7" width="10.28515625" bestFit="1" customWidth="1"/>
    <col min="8" max="8" width="13.140625" bestFit="1" customWidth="1"/>
    <col min="16" max="16" width="10.85546875" bestFit="1" customWidth="1"/>
  </cols>
  <sheetData>
    <row r="1" spans="1:8">
      <c r="A1" s="12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24" t="s">
        <v>6</v>
      </c>
      <c r="H1" s="25" t="s">
        <v>7</v>
      </c>
    </row>
    <row r="2" spans="1:8">
      <c r="A2" s="11" t="s">
        <v>8</v>
      </c>
      <c r="B2" s="5">
        <v>52.4</v>
      </c>
      <c r="C2" s="6">
        <v>180</v>
      </c>
      <c r="D2" s="6">
        <v>15</v>
      </c>
      <c r="E2" s="6">
        <v>5</v>
      </c>
      <c r="F2" s="22">
        <v>32</v>
      </c>
      <c r="G2" s="35">
        <f>POWER(D2,2)/1000000</f>
        <v>2.2499999999999999E-4</v>
      </c>
      <c r="H2" s="27">
        <f>PRODUCT(G2,C2)</f>
        <v>4.0500000000000001E-2</v>
      </c>
    </row>
    <row r="3" spans="1:8">
      <c r="A3" s="4" t="s">
        <v>9</v>
      </c>
      <c r="B3" s="1">
        <v>174</v>
      </c>
      <c r="C3" s="2">
        <v>300</v>
      </c>
      <c r="D3" s="2">
        <v>23.5</v>
      </c>
      <c r="E3" s="2">
        <v>5.5</v>
      </c>
      <c r="F3" s="23">
        <v>14.5</v>
      </c>
      <c r="G3" s="1">
        <f t="shared" ref="G3:G20" si="0">POWER(D3,2)/1000000</f>
        <v>5.5225000000000001E-4</v>
      </c>
      <c r="H3" s="28">
        <f>PRODUCT(G3,C3)</f>
        <v>0.16567499999999999</v>
      </c>
    </row>
    <row r="4" spans="1:8">
      <c r="A4" s="4" t="s">
        <v>10</v>
      </c>
      <c r="B4" s="1">
        <v>187</v>
      </c>
      <c r="C4" s="2">
        <v>325</v>
      </c>
      <c r="D4" s="2">
        <v>31</v>
      </c>
      <c r="E4" s="2">
        <v>9</v>
      </c>
      <c r="F4" s="23">
        <v>25.5</v>
      </c>
      <c r="G4" s="1">
        <f t="shared" si="0"/>
        <v>9.6100000000000005E-4</v>
      </c>
      <c r="H4" s="28">
        <f>PRODUCT(G4,C4)</f>
        <v>0.31232500000000002</v>
      </c>
    </row>
    <row r="5" spans="1:8">
      <c r="A5" s="4" t="s">
        <v>11</v>
      </c>
      <c r="B5" s="1">
        <v>193</v>
      </c>
      <c r="C5" s="2">
        <v>250</v>
      </c>
      <c r="D5" s="2">
        <v>42</v>
      </c>
      <c r="E5" s="2">
        <v>8</v>
      </c>
      <c r="F5" s="23">
        <v>25</v>
      </c>
      <c r="G5" s="1">
        <f t="shared" si="0"/>
        <v>1.7639999999999999E-3</v>
      </c>
      <c r="H5" s="28">
        <f>PRODUCT(G5,C5)</f>
        <v>0.441</v>
      </c>
    </row>
    <row r="6" spans="1:8">
      <c r="A6" s="4" t="s">
        <v>12</v>
      </c>
      <c r="B6" s="1">
        <v>195</v>
      </c>
      <c r="C6" s="2">
        <v>250</v>
      </c>
      <c r="D6" s="2">
        <v>42.5</v>
      </c>
      <c r="E6" s="2">
        <v>8.5</v>
      </c>
      <c r="F6" s="23">
        <v>25</v>
      </c>
      <c r="G6" s="1">
        <f t="shared" si="0"/>
        <v>1.8062499999999999E-3</v>
      </c>
      <c r="H6" s="28">
        <f>PRODUCT(G6,C6)</f>
        <v>0.45156249999999998</v>
      </c>
    </row>
    <row r="7" spans="1:8">
      <c r="A7" s="4" t="s">
        <v>13</v>
      </c>
      <c r="B7" s="1">
        <v>215</v>
      </c>
      <c r="C7" s="2">
        <v>250</v>
      </c>
      <c r="D7" s="2">
        <v>32</v>
      </c>
      <c r="E7" s="2">
        <v>7</v>
      </c>
      <c r="F7" s="23">
        <v>16</v>
      </c>
      <c r="G7" s="1">
        <f t="shared" si="0"/>
        <v>1.024E-3</v>
      </c>
      <c r="H7" s="28">
        <f>PRODUCT(G7,C7)</f>
        <v>0.25600000000000001</v>
      </c>
    </row>
    <row r="8" spans="1:8">
      <c r="A8" s="4" t="s">
        <v>14</v>
      </c>
      <c r="B8" s="1">
        <v>245</v>
      </c>
      <c r="C8" s="2">
        <v>200</v>
      </c>
      <c r="D8" s="2">
        <v>39</v>
      </c>
      <c r="E8" s="2">
        <v>11</v>
      </c>
      <c r="F8" s="23">
        <v>25</v>
      </c>
      <c r="G8" s="1">
        <f t="shared" si="0"/>
        <v>1.521E-3</v>
      </c>
      <c r="H8" s="28">
        <f>PRODUCT(G8,C8)</f>
        <v>0.30420000000000003</v>
      </c>
    </row>
    <row r="9" spans="1:8">
      <c r="A9" s="4" t="s">
        <v>15</v>
      </c>
      <c r="B9" s="1">
        <v>258</v>
      </c>
      <c r="C9" s="2">
        <v>250</v>
      </c>
      <c r="D9" s="2">
        <v>24</v>
      </c>
      <c r="E9" s="2">
        <v>6</v>
      </c>
      <c r="F9" s="23">
        <v>11</v>
      </c>
      <c r="G9" s="1">
        <f t="shared" si="0"/>
        <v>5.7600000000000001E-4</v>
      </c>
      <c r="H9" s="28">
        <f>PRODUCT(G9,C9)</f>
        <v>0.14400000000000002</v>
      </c>
    </row>
    <row r="10" spans="1:8">
      <c r="A10" s="4" t="s">
        <v>16</v>
      </c>
      <c r="B10" s="1">
        <v>283</v>
      </c>
      <c r="C10" s="2">
        <v>292</v>
      </c>
      <c r="D10" s="2">
        <v>37</v>
      </c>
      <c r="E10" s="2">
        <v>9</v>
      </c>
      <c r="F10" s="23">
        <v>17.5</v>
      </c>
      <c r="G10" s="1">
        <f t="shared" si="0"/>
        <v>1.369E-3</v>
      </c>
      <c r="H10" s="28">
        <f>PRODUCT(G10,C10)</f>
        <v>0.39974799999999999</v>
      </c>
    </row>
    <row r="11" spans="1:8">
      <c r="A11" s="4" t="s">
        <v>17</v>
      </c>
      <c r="B11" s="1">
        <v>317</v>
      </c>
      <c r="C11" s="2">
        <v>300</v>
      </c>
      <c r="D11" s="2">
        <v>39</v>
      </c>
      <c r="E11" s="2">
        <v>11</v>
      </c>
      <c r="F11" s="23">
        <v>25</v>
      </c>
      <c r="G11" s="1">
        <f t="shared" si="0"/>
        <v>1.521E-3</v>
      </c>
      <c r="H11" s="28">
        <f>PRODUCT(G11,C11)</f>
        <v>0.45629999999999998</v>
      </c>
    </row>
    <row r="12" spans="1:8">
      <c r="A12" s="4" t="s">
        <v>18</v>
      </c>
      <c r="B12" s="1">
        <v>324</v>
      </c>
      <c r="C12" s="2">
        <v>300</v>
      </c>
      <c r="D12" s="2">
        <v>47</v>
      </c>
      <c r="E12" s="2">
        <v>13</v>
      </c>
      <c r="F12" s="23">
        <v>30</v>
      </c>
      <c r="G12" s="1">
        <f t="shared" si="0"/>
        <v>2.209E-3</v>
      </c>
      <c r="H12" s="28">
        <f>PRODUCT(G12,C12)</f>
        <v>0.66269999999999996</v>
      </c>
    </row>
    <row r="13" spans="1:8">
      <c r="A13" s="10" t="s">
        <v>19</v>
      </c>
      <c r="B13" s="1">
        <v>482</v>
      </c>
      <c r="C13" s="2">
        <v>300</v>
      </c>
      <c r="D13" s="2">
        <v>49.5</v>
      </c>
      <c r="E13" s="2">
        <v>15.5</v>
      </c>
      <c r="F13" s="23">
        <v>25</v>
      </c>
      <c r="G13" s="1">
        <f t="shared" si="0"/>
        <v>2.4502500000000002E-3</v>
      </c>
      <c r="H13" s="29">
        <f>PRODUCT(G13,C13)</f>
        <v>0.73507500000000003</v>
      </c>
    </row>
    <row r="14" spans="1:8">
      <c r="A14" s="10" t="s">
        <v>20</v>
      </c>
      <c r="B14" s="15">
        <v>1350</v>
      </c>
      <c r="C14" s="16">
        <v>300</v>
      </c>
      <c r="D14" s="16">
        <v>85</v>
      </c>
      <c r="E14" s="16">
        <v>15</v>
      </c>
      <c r="F14" s="34">
        <v>25</v>
      </c>
      <c r="G14" s="1">
        <f t="shared" si="0"/>
        <v>7.2249999999999997E-3</v>
      </c>
      <c r="H14" s="28">
        <f>PRODUCT(G14,C14)</f>
        <v>2.1675</v>
      </c>
    </row>
    <row r="15" spans="1:8">
      <c r="A15" s="13" t="s">
        <v>21</v>
      </c>
      <c r="B15" s="17">
        <v>200</v>
      </c>
      <c r="C15" s="19">
        <v>250</v>
      </c>
      <c r="D15" s="19">
        <v>36</v>
      </c>
      <c r="E15" s="19">
        <v>12</v>
      </c>
      <c r="F15" s="31">
        <v>20</v>
      </c>
      <c r="G15" s="1">
        <f t="shared" si="0"/>
        <v>1.2960000000000001E-3</v>
      </c>
      <c r="H15" s="30">
        <f>PRODUCT(G15,C15)</f>
        <v>0.32400000000000001</v>
      </c>
    </row>
    <row r="16" spans="1:8">
      <c r="A16" s="13" t="s">
        <v>22</v>
      </c>
      <c r="B16" s="17">
        <v>325</v>
      </c>
      <c r="C16" s="19">
        <v>275</v>
      </c>
      <c r="D16" s="19">
        <v>36</v>
      </c>
      <c r="E16" s="19">
        <v>8</v>
      </c>
      <c r="F16" s="31">
        <v>16</v>
      </c>
      <c r="G16" s="1">
        <f t="shared" si="0"/>
        <v>1.2960000000000001E-3</v>
      </c>
      <c r="H16" s="28">
        <f>PRODUCT(G16,C16)</f>
        <v>0.35639999999999999</v>
      </c>
    </row>
    <row r="17" spans="1:8">
      <c r="A17" s="13" t="s">
        <v>23</v>
      </c>
      <c r="B17" s="17">
        <v>100</v>
      </c>
      <c r="C17" s="19">
        <v>300</v>
      </c>
      <c r="D17" s="19">
        <v>30</v>
      </c>
      <c r="E17" s="19">
        <v>5</v>
      </c>
      <c r="F17" s="31">
        <v>32.4</v>
      </c>
      <c r="G17" s="1">
        <f t="shared" si="0"/>
        <v>8.9999999999999998E-4</v>
      </c>
      <c r="H17" s="28">
        <f>PRODUCT(G17,C17)</f>
        <v>0.27</v>
      </c>
    </row>
    <row r="18" spans="1:8">
      <c r="A18" s="13" t="s">
        <v>24</v>
      </c>
      <c r="B18" s="21">
        <v>40</v>
      </c>
      <c r="C18" s="19">
        <v>275</v>
      </c>
      <c r="D18" s="19">
        <v>4</v>
      </c>
      <c r="E18" s="19">
        <v>0.5</v>
      </c>
      <c r="F18" s="31">
        <v>3</v>
      </c>
      <c r="G18" s="1">
        <f t="shared" si="0"/>
        <v>1.5999999999999999E-5</v>
      </c>
      <c r="H18" s="28">
        <f>PRODUCT(G18,C18)</f>
        <v>4.3999999999999994E-3</v>
      </c>
    </row>
    <row r="19" spans="1:8">
      <c r="A19" s="13" t="s">
        <v>25</v>
      </c>
      <c r="B19" s="17">
        <v>500</v>
      </c>
      <c r="C19" s="19">
        <v>1000</v>
      </c>
      <c r="D19" s="19">
        <v>34.799999999999997</v>
      </c>
      <c r="E19" s="19">
        <v>8.2100000000000009</v>
      </c>
      <c r="F19" s="32">
        <v>12</v>
      </c>
      <c r="G19" s="1">
        <f t="shared" si="0"/>
        <v>1.2110399999999998E-3</v>
      </c>
      <c r="H19" s="28">
        <f>PRODUCT(G19,C19)</f>
        <v>1.2110399999999999</v>
      </c>
    </row>
    <row r="20" spans="1:8">
      <c r="A20" s="14" t="s">
        <v>26</v>
      </c>
      <c r="B20" s="18">
        <v>300</v>
      </c>
      <c r="C20" s="20">
        <v>300</v>
      </c>
      <c r="D20" s="20">
        <v>73</v>
      </c>
      <c r="E20" s="20">
        <v>15.5</v>
      </c>
      <c r="F20" s="33">
        <v>21</v>
      </c>
      <c r="G20" s="3">
        <f t="shared" si="0"/>
        <v>5.3290000000000004E-3</v>
      </c>
      <c r="H20" s="26">
        <f>PRODUCT(G20,C20)</f>
        <v>1.5987</v>
      </c>
    </row>
    <row r="22" spans="1:8">
      <c r="A22" s="49" t="s">
        <v>27</v>
      </c>
      <c r="D22" s="37">
        <v>23.5</v>
      </c>
      <c r="E22" s="38">
        <v>5.5</v>
      </c>
      <c r="F22" s="39">
        <v>14.5</v>
      </c>
      <c r="H22" s="36" t="s">
        <v>28</v>
      </c>
    </row>
    <row r="23" spans="1:8">
      <c r="A23" s="49" t="s">
        <v>29</v>
      </c>
      <c r="D23" s="40">
        <v>31</v>
      </c>
      <c r="E23" s="2">
        <v>9</v>
      </c>
      <c r="F23" s="41">
        <v>25.5</v>
      </c>
    </row>
    <row r="24" spans="1:8">
      <c r="A24" s="49" t="s">
        <v>30</v>
      </c>
      <c r="D24" s="40">
        <v>42</v>
      </c>
      <c r="E24" s="2">
        <v>8</v>
      </c>
      <c r="F24" s="41">
        <v>25</v>
      </c>
      <c r="H24" s="46" t="s">
        <v>31</v>
      </c>
    </row>
    <row r="25" spans="1:8">
      <c r="A25" s="49" t="s">
        <v>32</v>
      </c>
      <c r="D25" s="40">
        <v>42.5</v>
      </c>
      <c r="E25" s="2">
        <v>8.5</v>
      </c>
      <c r="F25" s="41">
        <v>25</v>
      </c>
      <c r="H25" s="47" t="s">
        <v>33</v>
      </c>
    </row>
    <row r="26" spans="1:8">
      <c r="A26" s="49" t="s">
        <v>34</v>
      </c>
      <c r="D26" s="40">
        <v>32</v>
      </c>
      <c r="E26" s="2">
        <v>7</v>
      </c>
      <c r="F26" s="41">
        <v>16</v>
      </c>
      <c r="H26" s="47" t="s">
        <v>35</v>
      </c>
    </row>
    <row r="27" spans="1:8">
      <c r="A27" s="49" t="s">
        <v>36</v>
      </c>
      <c r="D27" s="40">
        <v>39</v>
      </c>
      <c r="E27" s="2">
        <v>11</v>
      </c>
      <c r="F27" s="41">
        <v>25</v>
      </c>
      <c r="H27" s="47" t="s">
        <v>37</v>
      </c>
    </row>
    <row r="28" spans="1:8">
      <c r="A28" s="49" t="s">
        <v>38</v>
      </c>
      <c r="D28" s="40">
        <v>24</v>
      </c>
      <c r="E28" s="2">
        <v>6</v>
      </c>
      <c r="F28" s="41">
        <v>11</v>
      </c>
      <c r="H28" s="48" t="s">
        <v>39</v>
      </c>
    </row>
    <row r="29" spans="1:8">
      <c r="A29" s="49" t="s">
        <v>40</v>
      </c>
      <c r="D29" s="40">
        <v>37</v>
      </c>
      <c r="E29" s="2">
        <v>9</v>
      </c>
      <c r="F29" s="41">
        <v>17.5</v>
      </c>
    </row>
    <row r="30" spans="1:8">
      <c r="A30" s="49" t="s">
        <v>41</v>
      </c>
      <c r="D30" s="40">
        <v>39</v>
      </c>
      <c r="E30" s="2">
        <v>11</v>
      </c>
      <c r="F30" s="41">
        <v>25</v>
      </c>
    </row>
    <row r="31" spans="1:8">
      <c r="D31" s="40">
        <v>47</v>
      </c>
      <c r="E31" s="2">
        <v>13</v>
      </c>
      <c r="F31" s="41">
        <v>30</v>
      </c>
    </row>
    <row r="32" spans="1:8">
      <c r="D32" s="40">
        <v>49.5</v>
      </c>
      <c r="E32" s="2">
        <v>15.5</v>
      </c>
      <c r="F32" s="41">
        <v>25</v>
      </c>
    </row>
    <row r="33" spans="4:6">
      <c r="D33" s="40">
        <v>85</v>
      </c>
      <c r="E33" s="2">
        <v>15</v>
      </c>
      <c r="F33" s="41">
        <v>25</v>
      </c>
    </row>
    <row r="34" spans="4:6">
      <c r="D34" s="42">
        <v>36</v>
      </c>
      <c r="E34" s="19">
        <v>12</v>
      </c>
      <c r="F34" s="43">
        <v>20</v>
      </c>
    </row>
    <row r="35" spans="4:6">
      <c r="D35" s="42">
        <v>36</v>
      </c>
      <c r="E35" s="19">
        <v>8</v>
      </c>
      <c r="F35" s="43">
        <v>16</v>
      </c>
    </row>
    <row r="36" spans="4:6">
      <c r="D36" s="42">
        <v>4</v>
      </c>
      <c r="E36" s="19">
        <v>0.5</v>
      </c>
      <c r="F36" s="43">
        <v>3</v>
      </c>
    </row>
    <row r="37" spans="4:6">
      <c r="D37" s="44">
        <v>34.799999999999997</v>
      </c>
      <c r="E37" s="20">
        <v>8.2100000000000009</v>
      </c>
      <c r="F37" s="45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2025-11-30T20:22:43Z</dcterms:created>
  <dcterms:modified xsi:type="dcterms:W3CDTF">2025-12-10T17:26:54Z</dcterms:modified>
  <cp:category/>
  <cp:contentStatus/>
</cp:coreProperties>
</file>