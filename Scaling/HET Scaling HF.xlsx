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05E850DB-1794-4821-AECF-898DABDD17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<sst xmlns="http://schemas.openxmlformats.org/spreadsheetml/2006/main" count="42" uniqueCount="42">
  <si>
    <t>Thruster</t>
  </si>
  <si>
    <t>P, W</t>
  </si>
  <si>
    <t>Ud, V</t>
  </si>
  <si>
    <t>d, mm</t>
  </si>
  <si>
    <t>h, mm</t>
  </si>
  <si>
    <t>L, mm</t>
  </si>
  <si>
    <t>d^2,m^2</t>
  </si>
  <si>
    <t>Vd.d^2, Vm^2</t>
  </si>
  <si>
    <t>SPT-20 [21]</t>
  </si>
  <si>
    <t>HET-100 [23]</t>
  </si>
  <si>
    <t>KHT-40 [24]</t>
  </si>
  <si>
    <t>KHT-50 [24]</t>
  </si>
  <si>
    <t>HEPS-200</t>
  </si>
  <si>
    <t>KM-32 [27]</t>
  </si>
  <si>
    <t>SPT-50M [28]</t>
  </si>
  <si>
    <t>SPT-30 [23]</t>
  </si>
  <si>
    <t>KM-37 [29]</t>
  </si>
  <si>
    <t>SPT-50 [21]</t>
  </si>
  <si>
    <t>A-3 [21]</t>
  </si>
  <si>
    <t>HEPS-500</t>
  </si>
  <si>
    <t>SPT-70</t>
  </si>
  <si>
    <t>SPT-100 [9,34]</t>
  </si>
  <si>
    <t>TUD-H3-P</t>
  </si>
  <si>
    <t>MaSMi</t>
  </si>
  <si>
    <t>MaSHEKT-100</t>
  </si>
  <si>
    <t>Micro Hall Thruster</t>
  </si>
  <si>
    <t>Mod 300W</t>
  </si>
  <si>
    <t>A=11.74*10^-4</t>
  </si>
  <si>
    <t>C=543.25</t>
  </si>
  <si>
    <t>Te=30eV</t>
  </si>
  <si>
    <t>Mi=2.803*10^-25</t>
  </si>
  <si>
    <t>Pd=200W</t>
  </si>
  <si>
    <t>Kb=1.3806*10^-23</t>
  </si>
  <si>
    <t>Vd=250V</t>
  </si>
  <si>
    <t>Ub=1.745*10^-8</t>
  </si>
  <si>
    <t>d=38.37mm</t>
  </si>
  <si>
    <t>ne=2.438*10^29</t>
  </si>
  <si>
    <t>h=8.92mm</t>
  </si>
  <si>
    <t>Vn=48376.329</t>
  </si>
  <si>
    <t>L=18.62mm</t>
  </si>
  <si>
    <t>Li=1.322*10^20</t>
  </si>
  <si>
    <t>nm=0.95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</si>
</sst>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b/>
      <sz val="11"/>
      <color rgb="FF000000"/>
      <name val="Aptos Narrow"/>
      <family val="2"/>
    </font>
    <font>
      <sz val="11"/>
      <color rgb="FF1F1F1F"/>
      <name val="Google Sans Text"/>
      <family val="2"/>
      <charset val="1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2" borderId="1" xfId="0" applyFont="1" applyFill="1" applyBorder="1" applyAlignment="1"/>
    <xf numFmtId="0" fontId="3" fillId="0" borderId="3" xfId="0" applyFont="1" applyFill="1" applyBorder="1" applyAlignment="1">
      <alignment readingOrder="1"/>
    </xf>
    <xf numFmtId="0" fontId="4" fillId="0" borderId="3" xfId="0" applyFont="1" applyFill="1" applyBorder="1" applyAlignment="1"/>
    <xf numFmtId="0" fontId="1" fillId="3" borderId="4" xfId="0" applyFont="1" applyFill="1" applyBorder="1" applyAlignment="1">
      <alignment readingOrder="1"/>
    </xf>
    <xf numFmtId="0" fontId="2" fillId="3" borderId="4" xfId="0" applyFont="1" applyFill="1" applyBorder="1" applyAlignment="1"/>
    <xf numFmtId="0" fontId="2" fillId="3" borderId="5" xfId="0" applyFont="1" applyFill="1" applyBorder="1" applyAlignment="1"/>
    <xf numFmtId="0" fontId="1" fillId="2" borderId="6" xfId="0" applyFont="1" applyFill="1" applyBorder="1" applyAlignment="1">
      <alignment readingOrder="1"/>
    </xf>
    <xf numFmtId="0" fontId="3" fillId="0" borderId="7" xfId="0" applyFont="1" applyFill="1" applyBorder="1" applyAlignment="1">
      <alignment readingOrder="1"/>
    </xf>
    <xf numFmtId="0" fontId="3" fillId="0" borderId="8" xfId="0" applyFont="1" applyFill="1" applyBorder="1" applyAlignment="1">
      <alignment readingOrder="1"/>
    </xf>
    <xf numFmtId="0" fontId="4" fillId="0" borderId="9" xfId="0" applyFont="1" applyFill="1" applyBorder="1" applyAlignment="1"/>
    <xf numFmtId="0" fontId="3" fillId="0" borderId="10" xfId="0" applyFont="1" applyFill="1" applyBorder="1" applyAlignment="1">
      <alignment readingOrder="1"/>
    </xf>
    <xf numFmtId="0" fontId="4" fillId="0" borderId="11" xfId="0" applyFont="1" applyFill="1" applyBorder="1" applyAlignment="1"/>
    <xf numFmtId="0" fontId="4" fillId="0" borderId="10" xfId="0" applyFont="1" applyFill="1" applyBorder="1" applyAlignment="1"/>
    <xf numFmtId="0" fontId="4" fillId="0" borderId="12" xfId="0" applyFont="1" applyFill="1" applyBorder="1" applyAlignment="1"/>
    <xf numFmtId="0" fontId="4" fillId="0" borderId="13" xfId="0" applyFont="1" applyFill="1" applyBorder="1" applyAlignment="1"/>
    <xf numFmtId="0" fontId="3" fillId="0" borderId="13" xfId="0" applyFont="1" applyFill="1" applyBorder="1" applyAlignment="1">
      <alignment readingOrder="1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2" fillId="4" borderId="16" xfId="0" applyFont="1" applyFill="1" applyBorder="1" applyAlignment="1"/>
    <xf numFmtId="0" fontId="4" fillId="0" borderId="0" xfId="0" applyFont="1" applyFill="1" applyBorder="1" applyAlignment="1"/>
    <xf numFmtId="0" fontId="2" fillId="5" borderId="17" xfId="0" applyFont="1" applyFill="1" applyBorder="1" applyAlignment="1"/>
    <xf numFmtId="0" fontId="2" fillId="5" borderId="18" xfId="0" applyFont="1" applyFill="1" applyBorder="1" applyAlignment="1"/>
    <xf numFmtId="0" fontId="2" fillId="5" borderId="1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6.644436223995491E-2"/>
                  <c:y val="-0.158671268453648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Sheet1!H2:H20</c:f>
              <c:numCache>
                <c:formatCode>General</c:formatCode>
                <c:ptCount val="19"/>
                <c:pt idx="0">
                  <c:v>4.0500000000000001E-2</c:v>
                </c:pt>
                <c:pt idx="1">
                  <c:v>0.16567499999999999</c:v>
                </c:pt>
                <c:pt idx="2">
                  <c:v>0.31232500000000002</c:v>
                </c:pt>
                <c:pt idx="3">
                  <c:v>0.441</c:v>
                </c:pt>
                <c:pt idx="4">
                  <c:v>0.45156249999999998</c:v>
                </c:pt>
                <c:pt idx="5">
                  <c:v>0.25600000000000001</c:v>
                </c:pt>
                <c:pt idx="6">
                  <c:v>0.30420000000000003</c:v>
                </c:pt>
                <c:pt idx="7">
                  <c:v>0.14400000000000002</c:v>
                </c:pt>
                <c:pt idx="8">
                  <c:v>0.39974799999999999</c:v>
                </c:pt>
                <c:pt idx="9">
                  <c:v>0.45629999999999998</c:v>
                </c:pt>
                <c:pt idx="10">
                  <c:v>0.66269999999999996</c:v>
                </c:pt>
                <c:pt idx="11">
                  <c:v>0.73507500000000003</c:v>
                </c:pt>
                <c:pt idx="12">
                  <c:v>0.94079999999999997</c:v>
                </c:pt>
                <c:pt idx="13">
                  <c:v>2.1675</c:v>
                </c:pt>
                <c:pt idx="14">
                  <c:v>0.32400000000000001</c:v>
                </c:pt>
                <c:pt idx="15">
                  <c:v>0.35639999999999999</c:v>
                </c:pt>
                <c:pt idx="16">
                  <c:v>0.27</c:v>
                </c:pt>
                <c:pt idx="17">
                  <c:v>4.3999999999999994E-3</c:v>
                </c:pt>
                <c:pt idx="18">
                  <c:v>1.3322500000000002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52.4</c:v>
                </c:pt>
                <c:pt idx="1">
                  <c:v>174</c:v>
                </c:pt>
                <c:pt idx="2">
                  <c:v>187</c:v>
                </c:pt>
                <c:pt idx="3">
                  <c:v>193</c:v>
                </c:pt>
                <c:pt idx="4">
                  <c:v>195</c:v>
                </c:pt>
                <c:pt idx="5">
                  <c:v>215</c:v>
                </c:pt>
                <c:pt idx="6">
                  <c:v>245</c:v>
                </c:pt>
                <c:pt idx="7">
                  <c:v>258</c:v>
                </c:pt>
                <c:pt idx="8">
                  <c:v>283</c:v>
                </c:pt>
                <c:pt idx="9">
                  <c:v>317</c:v>
                </c:pt>
                <c:pt idx="10">
                  <c:v>324</c:v>
                </c:pt>
                <c:pt idx="11">
                  <c:v>482</c:v>
                </c:pt>
                <c:pt idx="12">
                  <c:v>660</c:v>
                </c:pt>
                <c:pt idx="13">
                  <c:v>1350</c:v>
                </c:pt>
                <c:pt idx="14">
                  <c:v>200</c:v>
                </c:pt>
                <c:pt idx="15">
                  <c:v>325</c:v>
                </c:pt>
                <c:pt idx="16">
                  <c:v>100</c:v>
                </c:pt>
                <c:pt idx="17">
                  <c:v>40</c:v>
                </c:pt>
                <c:pt idx="18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F-4CA0-9F58-7BFFCC6CF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522120"/>
        <c:axId val="1018536456"/>
      </c:scatterChart>
      <c:valAx>
        <c:axId val="1018522120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Vd2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536456"/>
        <c:crosses val="autoZero"/>
        <c:crossBetween val="midCat"/>
        <c:majorUnit val="0.5"/>
      </c:valAx>
      <c:valAx>
        <c:axId val="101853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522120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5339594178634645E-2"/>
                  <c:y val="-4.850560788654733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Sheet1!D2:D20</c:f>
              <c:numCache>
                <c:formatCode>General</c:formatCode>
                <c:ptCount val="19"/>
                <c:pt idx="0">
                  <c:v>15</c:v>
                </c:pt>
                <c:pt idx="1">
                  <c:v>23.5</c:v>
                </c:pt>
                <c:pt idx="2">
                  <c:v>31</c:v>
                </c:pt>
                <c:pt idx="3">
                  <c:v>42</c:v>
                </c:pt>
                <c:pt idx="4">
                  <c:v>42.5</c:v>
                </c:pt>
                <c:pt idx="5">
                  <c:v>32</c:v>
                </c:pt>
                <c:pt idx="6">
                  <c:v>39</c:v>
                </c:pt>
                <c:pt idx="7">
                  <c:v>24</c:v>
                </c:pt>
                <c:pt idx="8">
                  <c:v>37</c:v>
                </c:pt>
                <c:pt idx="9">
                  <c:v>39</c:v>
                </c:pt>
                <c:pt idx="10">
                  <c:v>47</c:v>
                </c:pt>
                <c:pt idx="11">
                  <c:v>49.5</c:v>
                </c:pt>
                <c:pt idx="12">
                  <c:v>56</c:v>
                </c:pt>
                <c:pt idx="13">
                  <c:v>85</c:v>
                </c:pt>
                <c:pt idx="14">
                  <c:v>36</c:v>
                </c:pt>
                <c:pt idx="15">
                  <c:v>36</c:v>
                </c:pt>
                <c:pt idx="16">
                  <c:v>30</c:v>
                </c:pt>
                <c:pt idx="17">
                  <c:v>4</c:v>
                </c:pt>
                <c:pt idx="18">
                  <c:v>73</c:v>
                </c:pt>
              </c:numCache>
            </c:numRef>
          </c:xVal>
          <c:yVal>
            <c:numRef>
              <c:f>Sheet1!E2:E20</c:f>
              <c:numCache>
                <c:formatCode>General</c:formatCode>
                <c:ptCount val="19"/>
                <c:pt idx="0">
                  <c:v>5</c:v>
                </c:pt>
                <c:pt idx="1">
                  <c:v>5.5</c:v>
                </c:pt>
                <c:pt idx="2">
                  <c:v>9</c:v>
                </c:pt>
                <c:pt idx="3">
                  <c:v>8</c:v>
                </c:pt>
                <c:pt idx="4">
                  <c:v>8.5</c:v>
                </c:pt>
                <c:pt idx="5">
                  <c:v>7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15.5</c:v>
                </c:pt>
                <c:pt idx="12">
                  <c:v>14</c:v>
                </c:pt>
                <c:pt idx="13">
                  <c:v>15</c:v>
                </c:pt>
                <c:pt idx="14">
                  <c:v>12</c:v>
                </c:pt>
                <c:pt idx="15">
                  <c:v>8</c:v>
                </c:pt>
                <c:pt idx="16">
                  <c:v>5</c:v>
                </c:pt>
                <c:pt idx="17">
                  <c:v>0.5</c:v>
                </c:pt>
                <c:pt idx="18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F-4BEE-9578-8E64029E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159368"/>
        <c:axId val="1582161416"/>
      </c:scatterChart>
      <c:valAx>
        <c:axId val="158215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61416"/>
        <c:crosses val="autoZero"/>
        <c:crossBetween val="midCat"/>
      </c:valAx>
      <c:valAx>
        <c:axId val="158216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5936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6.2818036070364222E-2"/>
                  <c:y val="-4.769403824521934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Sheet1!D2:D20</c:f>
              <c:numCache>
                <c:formatCode>General</c:formatCode>
                <c:ptCount val="19"/>
                <c:pt idx="0">
                  <c:v>15</c:v>
                </c:pt>
                <c:pt idx="1">
                  <c:v>23.5</c:v>
                </c:pt>
                <c:pt idx="2">
                  <c:v>31</c:v>
                </c:pt>
                <c:pt idx="3">
                  <c:v>42</c:v>
                </c:pt>
                <c:pt idx="4">
                  <c:v>42.5</c:v>
                </c:pt>
                <c:pt idx="5">
                  <c:v>32</c:v>
                </c:pt>
                <c:pt idx="6">
                  <c:v>39</c:v>
                </c:pt>
                <c:pt idx="7">
                  <c:v>24</c:v>
                </c:pt>
                <c:pt idx="8">
                  <c:v>37</c:v>
                </c:pt>
                <c:pt idx="9">
                  <c:v>39</c:v>
                </c:pt>
                <c:pt idx="10">
                  <c:v>47</c:v>
                </c:pt>
                <c:pt idx="11">
                  <c:v>49.5</c:v>
                </c:pt>
                <c:pt idx="12">
                  <c:v>56</c:v>
                </c:pt>
                <c:pt idx="13">
                  <c:v>85</c:v>
                </c:pt>
                <c:pt idx="14">
                  <c:v>36</c:v>
                </c:pt>
                <c:pt idx="15">
                  <c:v>36</c:v>
                </c:pt>
                <c:pt idx="16">
                  <c:v>30</c:v>
                </c:pt>
                <c:pt idx="17">
                  <c:v>4</c:v>
                </c:pt>
                <c:pt idx="18">
                  <c:v>73</c:v>
                </c:pt>
              </c:numCache>
            </c:numRef>
          </c:xVal>
          <c:yVal>
            <c:numRef>
              <c:f>Sheet1!F2:F20</c:f>
              <c:numCache>
                <c:formatCode>General</c:formatCode>
                <c:ptCount val="19"/>
                <c:pt idx="0">
                  <c:v>32</c:v>
                </c:pt>
                <c:pt idx="1">
                  <c:v>14.5</c:v>
                </c:pt>
                <c:pt idx="2">
                  <c:v>25.5</c:v>
                </c:pt>
                <c:pt idx="3">
                  <c:v>25</c:v>
                </c:pt>
                <c:pt idx="4">
                  <c:v>25</c:v>
                </c:pt>
                <c:pt idx="5">
                  <c:v>16</c:v>
                </c:pt>
                <c:pt idx="6">
                  <c:v>25</c:v>
                </c:pt>
                <c:pt idx="7">
                  <c:v>11</c:v>
                </c:pt>
                <c:pt idx="8">
                  <c:v>17.5</c:v>
                </c:pt>
                <c:pt idx="9">
                  <c:v>25</c:v>
                </c:pt>
                <c:pt idx="10">
                  <c:v>30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20</c:v>
                </c:pt>
                <c:pt idx="15">
                  <c:v>16</c:v>
                </c:pt>
                <c:pt idx="16">
                  <c:v>32</c:v>
                </c:pt>
                <c:pt idx="17">
                  <c:v>3</c:v>
                </c:pt>
                <c:pt idx="18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588-407E-AB74-B7A83CFC6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526984"/>
        <c:axId val="23789576"/>
      </c:scatterChart>
      <c:valAx>
        <c:axId val="135052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576"/>
        <c:crosses val="autoZero"/>
        <c:crossBetween val="midCat"/>
      </c:valAx>
      <c:valAx>
        <c:axId val="23789576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2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0</xdr:row>
      <xdr:rowOff>123825</xdr:rowOff>
    </xdr:from>
    <xdr:to>
      <xdr:col>17</xdr:col>
      <xdr:colOff>409575</xdr:colOff>
      <xdr:row>19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B57E6C-3C04-B81E-5578-CF12B3DF2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0</xdr:row>
      <xdr:rowOff>152400</xdr:rowOff>
    </xdr:from>
    <xdr:to>
      <xdr:col>27</xdr:col>
      <xdr:colOff>247650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D2153-72E8-B876-1305-46007AFF779F}"/>
            </a:ext>
            <a:ext uri="{147F2762-F138-4A5C-976F-8EAC2B608ADB}">
              <a16:predDERef xmlns:a16="http://schemas.microsoft.com/office/drawing/2014/main" pred="{A6B57E6C-3C04-B81E-5578-CF12B3DF2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200025</xdr:colOff>
      <xdr:row>20</xdr:row>
      <xdr:rowOff>66675</xdr:rowOff>
    </xdr:from>
    <xdr:to>
      <xdr:col>17</xdr:col>
      <xdr:colOff>342900</xdr:colOff>
      <xdr:row>39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35DEE-11B8-DD0F-243D-311C568DAE84}"/>
            </a:ext>
            <a:ext uri="{147F2762-F138-4A5C-976F-8EAC2B608ADB}">
              <a16:predDERef xmlns:a16="http://schemas.microsoft.com/office/drawing/2014/main" pred="{C69D2153-72E8-B876-1305-46007AFF7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35" workbookViewId="0">
      <selection activeCell="G38" sqref="G38"/>
    </sheetView>
  </sheetViews>
  <sheetFormatPr defaultRowHeight="15"/>
  <cols>
    <col min="1" max="1" width="17.7109375" bestFit="1" customWidth="1"/>
    <col min="5" max="5" width="11.7109375" customWidth="1"/>
    <col min="7" max="7" width="10.28515625" bestFit="1" customWidth="1"/>
    <col min="8" max="8" width="13.140625" bestFit="1" customWidth="1"/>
  </cols>
  <sheetData>
    <row r="1" spans="1:8">
      <c r="A1" s="1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2" t="s">
        <v>6</v>
      </c>
      <c r="H1" s="3" t="s">
        <v>7</v>
      </c>
    </row>
    <row r="2" spans="1:8">
      <c r="A2" s="6" t="s">
        <v>8</v>
      </c>
      <c r="B2" s="10">
        <v>52.4</v>
      </c>
      <c r="C2" s="11">
        <v>180</v>
      </c>
      <c r="D2" s="11">
        <v>15</v>
      </c>
      <c r="E2" s="11">
        <v>5</v>
      </c>
      <c r="F2" s="11">
        <v>32</v>
      </c>
      <c r="G2" s="11">
        <f>(POWER(D2,2))/1000000</f>
        <v>2.2499999999999999E-4</v>
      </c>
      <c r="H2" s="12">
        <f>PRODUCT(C2,G2)</f>
        <v>4.0500000000000001E-2</v>
      </c>
    </row>
    <row r="3" spans="1:8">
      <c r="A3" s="6" t="s">
        <v>9</v>
      </c>
      <c r="B3" s="13">
        <v>174</v>
      </c>
      <c r="C3" s="4">
        <v>300</v>
      </c>
      <c r="D3" s="4">
        <v>23.5</v>
      </c>
      <c r="E3" s="4">
        <v>5.5</v>
      </c>
      <c r="F3" s="4">
        <v>14.5</v>
      </c>
      <c r="G3" s="4">
        <f t="shared" ref="G3:G20" si="0">(POWER(D3,2))/1000000</f>
        <v>5.5225000000000001E-4</v>
      </c>
      <c r="H3" s="14">
        <f t="shared" ref="H3:H20" si="1">PRODUCT(C3,G3)</f>
        <v>0.16567499999999999</v>
      </c>
    </row>
    <row r="4" spans="1:8">
      <c r="A4" s="6" t="s">
        <v>10</v>
      </c>
      <c r="B4" s="13">
        <v>187</v>
      </c>
      <c r="C4" s="4">
        <v>325</v>
      </c>
      <c r="D4" s="4">
        <v>31</v>
      </c>
      <c r="E4" s="4">
        <v>9</v>
      </c>
      <c r="F4" s="4">
        <v>25.5</v>
      </c>
      <c r="G4" s="4">
        <f t="shared" si="0"/>
        <v>9.6100000000000005E-4</v>
      </c>
      <c r="H4" s="14">
        <f t="shared" si="1"/>
        <v>0.31232500000000002</v>
      </c>
    </row>
    <row r="5" spans="1:8">
      <c r="A5" s="6" t="s">
        <v>11</v>
      </c>
      <c r="B5" s="13">
        <v>193</v>
      </c>
      <c r="C5" s="4">
        <v>250</v>
      </c>
      <c r="D5" s="4">
        <v>42</v>
      </c>
      <c r="E5" s="4">
        <v>8</v>
      </c>
      <c r="F5" s="4">
        <v>25</v>
      </c>
      <c r="G5" s="4">
        <f t="shared" si="0"/>
        <v>1.7639999999999999E-3</v>
      </c>
      <c r="H5" s="14">
        <f t="shared" si="1"/>
        <v>0.441</v>
      </c>
    </row>
    <row r="6" spans="1:8">
      <c r="A6" s="6" t="s">
        <v>12</v>
      </c>
      <c r="B6" s="13">
        <v>195</v>
      </c>
      <c r="C6" s="4">
        <v>250</v>
      </c>
      <c r="D6" s="4">
        <v>42.5</v>
      </c>
      <c r="E6" s="4">
        <v>8.5</v>
      </c>
      <c r="F6" s="4">
        <v>25</v>
      </c>
      <c r="G6" s="4">
        <f t="shared" si="0"/>
        <v>1.8062499999999999E-3</v>
      </c>
      <c r="H6" s="14">
        <f t="shared" si="1"/>
        <v>0.45156249999999998</v>
      </c>
    </row>
    <row r="7" spans="1:8">
      <c r="A7" s="6" t="s">
        <v>13</v>
      </c>
      <c r="B7" s="13">
        <v>215</v>
      </c>
      <c r="C7" s="4">
        <v>250</v>
      </c>
      <c r="D7" s="4">
        <v>32</v>
      </c>
      <c r="E7" s="4">
        <v>7</v>
      </c>
      <c r="F7" s="4">
        <v>16</v>
      </c>
      <c r="G7" s="4">
        <f t="shared" si="0"/>
        <v>1.024E-3</v>
      </c>
      <c r="H7" s="14">
        <f t="shared" si="1"/>
        <v>0.25600000000000001</v>
      </c>
    </row>
    <row r="8" spans="1:8">
      <c r="A8" s="6" t="s">
        <v>14</v>
      </c>
      <c r="B8" s="13">
        <v>245</v>
      </c>
      <c r="C8" s="4">
        <v>200</v>
      </c>
      <c r="D8" s="4">
        <v>39</v>
      </c>
      <c r="E8" s="4">
        <v>11</v>
      </c>
      <c r="F8" s="4">
        <v>25</v>
      </c>
      <c r="G8" s="4">
        <f t="shared" si="0"/>
        <v>1.521E-3</v>
      </c>
      <c r="H8" s="14">
        <f t="shared" si="1"/>
        <v>0.30420000000000003</v>
      </c>
    </row>
    <row r="9" spans="1:8">
      <c r="A9" s="6" t="s">
        <v>15</v>
      </c>
      <c r="B9" s="13">
        <v>258</v>
      </c>
      <c r="C9" s="4">
        <v>250</v>
      </c>
      <c r="D9" s="4">
        <v>24</v>
      </c>
      <c r="E9" s="4">
        <v>6</v>
      </c>
      <c r="F9" s="4">
        <v>11</v>
      </c>
      <c r="G9" s="4">
        <f t="shared" si="0"/>
        <v>5.7600000000000001E-4</v>
      </c>
      <c r="H9" s="14">
        <f t="shared" si="1"/>
        <v>0.14400000000000002</v>
      </c>
    </row>
    <row r="10" spans="1:8">
      <c r="A10" s="6" t="s">
        <v>16</v>
      </c>
      <c r="B10" s="13">
        <v>283</v>
      </c>
      <c r="C10" s="4">
        <v>292</v>
      </c>
      <c r="D10" s="4">
        <v>37</v>
      </c>
      <c r="E10" s="4">
        <v>9</v>
      </c>
      <c r="F10" s="4">
        <v>17.5</v>
      </c>
      <c r="G10" s="4">
        <f t="shared" si="0"/>
        <v>1.369E-3</v>
      </c>
      <c r="H10" s="14">
        <f t="shared" si="1"/>
        <v>0.39974799999999999</v>
      </c>
    </row>
    <row r="11" spans="1:8">
      <c r="A11" s="6" t="s">
        <v>17</v>
      </c>
      <c r="B11" s="13">
        <v>317</v>
      </c>
      <c r="C11" s="4">
        <v>300</v>
      </c>
      <c r="D11" s="4">
        <v>39</v>
      </c>
      <c r="E11" s="4">
        <v>11</v>
      </c>
      <c r="F11" s="4">
        <v>25</v>
      </c>
      <c r="G11" s="4">
        <f t="shared" si="0"/>
        <v>1.521E-3</v>
      </c>
      <c r="H11" s="14">
        <f t="shared" si="1"/>
        <v>0.45629999999999998</v>
      </c>
    </row>
    <row r="12" spans="1:8">
      <c r="A12" s="6" t="s">
        <v>18</v>
      </c>
      <c r="B12" s="13">
        <v>324</v>
      </c>
      <c r="C12" s="4">
        <v>300</v>
      </c>
      <c r="D12" s="4">
        <v>47</v>
      </c>
      <c r="E12" s="4">
        <v>13</v>
      </c>
      <c r="F12" s="4">
        <v>30</v>
      </c>
      <c r="G12" s="4">
        <f t="shared" si="0"/>
        <v>2.209E-3</v>
      </c>
      <c r="H12" s="14">
        <f t="shared" si="1"/>
        <v>0.66269999999999996</v>
      </c>
    </row>
    <row r="13" spans="1:8">
      <c r="A13" s="6" t="s">
        <v>19</v>
      </c>
      <c r="B13" s="13">
        <v>482</v>
      </c>
      <c r="C13" s="4">
        <v>300</v>
      </c>
      <c r="D13" s="4">
        <v>49.5</v>
      </c>
      <c r="E13" s="4">
        <v>15.5</v>
      </c>
      <c r="F13" s="4">
        <v>25</v>
      </c>
      <c r="G13" s="4">
        <f t="shared" si="0"/>
        <v>2.4502500000000002E-3</v>
      </c>
      <c r="H13" s="14">
        <f t="shared" si="1"/>
        <v>0.73507500000000003</v>
      </c>
    </row>
    <row r="14" spans="1:8">
      <c r="A14" s="6" t="s">
        <v>20</v>
      </c>
      <c r="B14" s="13">
        <v>660</v>
      </c>
      <c r="C14" s="4">
        <v>300</v>
      </c>
      <c r="D14" s="4">
        <v>56</v>
      </c>
      <c r="E14" s="4">
        <v>14</v>
      </c>
      <c r="F14" s="4">
        <v>25</v>
      </c>
      <c r="G14" s="4">
        <f t="shared" si="0"/>
        <v>3.1359999999999999E-3</v>
      </c>
      <c r="H14" s="14">
        <f t="shared" si="1"/>
        <v>0.94079999999999997</v>
      </c>
    </row>
    <row r="15" spans="1:8">
      <c r="A15" s="6" t="s">
        <v>21</v>
      </c>
      <c r="B15" s="13">
        <v>1350</v>
      </c>
      <c r="C15" s="4">
        <v>300</v>
      </c>
      <c r="D15" s="4">
        <v>85</v>
      </c>
      <c r="E15" s="4">
        <v>15</v>
      </c>
      <c r="F15" s="4">
        <v>25</v>
      </c>
      <c r="G15" s="4">
        <f t="shared" si="0"/>
        <v>7.2249999999999997E-3</v>
      </c>
      <c r="H15" s="14">
        <f t="shared" si="1"/>
        <v>2.1675</v>
      </c>
    </row>
    <row r="16" spans="1:8">
      <c r="A16" s="7" t="s">
        <v>22</v>
      </c>
      <c r="B16" s="15">
        <v>200</v>
      </c>
      <c r="C16" s="5">
        <v>250</v>
      </c>
      <c r="D16" s="5">
        <v>36</v>
      </c>
      <c r="E16" s="5">
        <v>12</v>
      </c>
      <c r="F16" s="5">
        <v>20</v>
      </c>
      <c r="G16" s="4">
        <f t="shared" si="0"/>
        <v>1.2960000000000001E-3</v>
      </c>
      <c r="H16" s="14">
        <f t="shared" si="1"/>
        <v>0.32400000000000001</v>
      </c>
    </row>
    <row r="17" spans="1:8">
      <c r="A17" s="7" t="s">
        <v>23</v>
      </c>
      <c r="B17" s="15">
        <v>325</v>
      </c>
      <c r="C17" s="5">
        <v>275</v>
      </c>
      <c r="D17" s="5">
        <v>36</v>
      </c>
      <c r="E17" s="5">
        <v>8</v>
      </c>
      <c r="F17" s="5">
        <v>16</v>
      </c>
      <c r="G17" s="4">
        <f t="shared" si="0"/>
        <v>1.2960000000000001E-3</v>
      </c>
      <c r="H17" s="14">
        <f t="shared" si="1"/>
        <v>0.35639999999999999</v>
      </c>
    </row>
    <row r="18" spans="1:8">
      <c r="A18" s="7" t="s">
        <v>24</v>
      </c>
      <c r="B18" s="15">
        <v>100</v>
      </c>
      <c r="C18" s="5">
        <v>300</v>
      </c>
      <c r="D18" s="5">
        <v>30</v>
      </c>
      <c r="E18" s="5">
        <v>5</v>
      </c>
      <c r="F18" s="5">
        <v>32</v>
      </c>
      <c r="G18" s="4">
        <f t="shared" si="0"/>
        <v>8.9999999999999998E-4</v>
      </c>
      <c r="H18" s="14">
        <f t="shared" si="1"/>
        <v>0.27</v>
      </c>
    </row>
    <row r="19" spans="1:8">
      <c r="A19" s="7" t="s">
        <v>25</v>
      </c>
      <c r="B19" s="15">
        <v>40</v>
      </c>
      <c r="C19" s="5">
        <v>275</v>
      </c>
      <c r="D19" s="5">
        <v>4</v>
      </c>
      <c r="E19" s="5">
        <v>0.5</v>
      </c>
      <c r="F19" s="5">
        <v>3</v>
      </c>
      <c r="G19" s="4">
        <f t="shared" si="0"/>
        <v>1.5999999999999999E-5</v>
      </c>
      <c r="H19" s="14">
        <f t="shared" si="1"/>
        <v>4.3999999999999994E-3</v>
      </c>
    </row>
    <row r="20" spans="1:8">
      <c r="A20" s="8" t="s">
        <v>26</v>
      </c>
      <c r="B20" s="16">
        <v>200</v>
      </c>
      <c r="C20" s="17">
        <v>250</v>
      </c>
      <c r="D20" s="17">
        <v>73</v>
      </c>
      <c r="E20" s="17">
        <v>15.5</v>
      </c>
      <c r="F20" s="17">
        <v>21</v>
      </c>
      <c r="G20" s="18">
        <f t="shared" si="0"/>
        <v>5.3290000000000004E-3</v>
      </c>
      <c r="H20" s="19">
        <f t="shared" si="1"/>
        <v>1.3322500000000002</v>
      </c>
    </row>
    <row r="23" spans="1:8">
      <c r="A23" s="5" t="s">
        <v>27</v>
      </c>
      <c r="E23" s="21" t="s">
        <v>28</v>
      </c>
    </row>
    <row r="24" spans="1:8">
      <c r="A24" s="20" t="s">
        <v>29</v>
      </c>
      <c r="E24" s="22"/>
    </row>
    <row r="25" spans="1:8">
      <c r="A25" s="20" t="s">
        <v>30</v>
      </c>
      <c r="E25" s="23" t="s">
        <v>31</v>
      </c>
    </row>
    <row r="26" spans="1:8">
      <c r="A26" s="20" t="s">
        <v>32</v>
      </c>
      <c r="E26" s="24" t="s">
        <v>33</v>
      </c>
    </row>
    <row r="27" spans="1:8">
      <c r="A27" s="20" t="s">
        <v>34</v>
      </c>
      <c r="E27" s="24" t="s">
        <v>35</v>
      </c>
    </row>
    <row r="28" spans="1:8">
      <c r="A28" s="20" t="s">
        <v>36</v>
      </c>
      <c r="E28" s="24" t="s">
        <v>37</v>
      </c>
    </row>
    <row r="29" spans="1:8">
      <c r="A29" s="20" t="s">
        <v>38</v>
      </c>
      <c r="E29" s="25" t="s">
        <v>39</v>
      </c>
    </row>
    <row r="30" spans="1:8">
      <c r="A30" s="20" t="s">
        <v>40</v>
      </c>
    </row>
    <row r="31" spans="1:8">
      <c r="A31" s="20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2026-02-27T04:18:24Z</dcterms:created>
  <dcterms:modified xsi:type="dcterms:W3CDTF">2026-03-02T07:35:49Z</dcterms:modified>
  <cp:category/>
  <cp:contentStatus/>
</cp:coreProperties>
</file>